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6925"/>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2"/>
      <name val="Calibri"/>
      <b/>
    </font>
    <font>
      <sz val="9"/>
      <name val="Calibri"/>
      <i/>
    </font>
    <font>
      <sz val="11"/>
      <name val="Calibri"/>
    </font>
    <font>
      <sz val="11"/>
      <name val="Calibri"/>
      <b/>
    </font>
    <font>
      <sz val="11"/>
      <name val="Calibri"/>
      <b/>
    </font>
  </fonts>
  <fills count="4">
    <fill>
      <patternFill patternType="none">
        <bgColor/>
      </patternFill>
    </fill>
    <fill>
      <patternFill patternType="gray125">
        <bgColor/>
      </patternFill>
    </fill>
    <fill>
      <patternFill patternType="solid">
        <fgColor rgb="FFFFFFFF"/>
        <bgColor/>
      </patternFill>
    </fill>
    <fill>
      <patternFill patternType="solid">
        <fgColor rgb="FFFFFFFF"/>
        <bgColor/>
      </patternFill>
    </fill>
  </fills>
  <borders count="6">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3">
    <xf numFmtId="0" fontId="0" fillId="0" borderId="0" xfId="0"/>
    <xf numFmtId="0" fontId="1" fillId="1" borderId="1" xfId="0" applyFont="1" applyFill="1" applyBorder="1"/>
    <xf numFmtId="0" fontId="0" fillId="0" borderId="0" xfId="0"/>
    <xf numFmtId="0" fontId="2" fillId="0" borderId="2" xfId="0" applyFont="1" applyBorder="1" applyAlignment="1">
      <alignment horizontal="center" vertical="center"/>
    </xf>
    <xf numFmtId="0" fontId="3" fillId="0" borderId="3" xfId="0" applyFont="1" applyBorder="1" applyAlignment="1">
      <alignment horizontal="center" vertical="center"/>
    </xf>
    <xf numFmtId="0" fontId="4" fillId="0" borderId="0" xfId="0" applyFont="1" applyAlignment="1">
      <alignment horizontal="right" vertical="center"/>
    </xf>
    <xf numFmtId="0" fontId="5" fillId="2" borderId="4" xfId="0" applyFont="1" applyFill="1" applyBorder="1" applyAlignment="1">
      <alignment horizontal="center" vertical="center"/>
    </xf>
    <xf numFmtId="0" fontId="6" fillId="3" borderId="5" xfId="0" applyFont="1" applyFill="1" applyBorder="1" applyAlignment="1">
      <alignment horizontal="center" vertical="center"/>
    </xf>
    <xf numFmtId="1" fontId="0" fillId="0" borderId="0" xfId="0" applyNumberFormat="1"/>
    <xf numFmtId="0" fontId="0" fillId="0" borderId="0" xfId="0"/>
    <xf numFmtId="0" fontId="0" fillId="0" borderId="0" xfId="0"/>
    <xf numFmtId="9" fontId="0" fillId="0" borderId="0" xfId="0" applyNumberFormat="1"/>
    <xf numFmtId="2" fontId="0" fillId="0" borderId="0" xfId="0" applyNumberForma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AL71"/>
  <sheetViews>
    <sheetView workbookViewId="0" rightToLeft="0"/>
  </sheetViews>
  <cols>
    <col min="1" max="1" width="15.83203125" customWidth="1"/>
    <col min="2" max="2" width="4.83203125" customWidth="1"/>
    <col min="3" max="3" width="30.83203125" customWidth="1"/>
    <col min="4" max="4" width="4.83203125" customWidth="1"/>
    <col min="5" max="5" width="3.83203125" customWidth="1"/>
    <col min="6" max="6" width="3.83203125" customWidth="1"/>
    <col min="7" max="7" width="3.83203125" customWidth="1"/>
    <col min="8" max="8" width="3.83203125" customWidth="1"/>
    <col min="9" max="9" width="3.83203125" customWidth="1"/>
    <col min="10" max="10" width="3.83203125" customWidth="1"/>
    <col min="11" max="11" width="3.83203125" customWidth="1"/>
    <col min="12" max="12" width="3.83203125" customWidth="1"/>
    <col min="13" max="13" width="3.83203125" customWidth="1"/>
    <col min="14" max="14" width="3.83203125" customWidth="1"/>
    <col min="15" max="15" width="3.83203125" customWidth="1"/>
    <col min="16" max="16" width="3.83203125" customWidth="1"/>
    <col min="17" max="17" width="3.83203125" customWidth="1"/>
    <col min="18" max="18" width="3.83203125" customWidth="1"/>
    <col min="19" max="19" width="3.83203125" customWidth="1"/>
    <col min="20" max="20" width="3.83203125" customWidth="1"/>
    <col min="21" max="21" width="3.83203125" customWidth="1"/>
    <col min="22" max="22" width="3.83203125" customWidth="1"/>
    <col min="23" max="23" width="3.83203125" customWidth="1"/>
    <col min="24" max="24" width="3.83203125" customWidth="1"/>
    <col min="25" max="25" width="3.83203125" customWidth="1"/>
    <col min="26" max="26" width="3.83203125" customWidth="1"/>
    <col min="27" max="27" width="8.83203125" customWidth="1"/>
    <col min="28" max="28" width="4.83203125" customWidth="1"/>
    <col min="29" max="29" width="4.83203125" customWidth="1"/>
    <col min="30" max="30" width="20.83203125" customWidth="1"/>
    <col min="31" max="31" width="4.83203125" customWidth="1"/>
    <col min="32" max="32" width="4.83203125" customWidth="1"/>
    <col min="33" max="33" width="4.83203125" customWidth="1"/>
    <col min="34" max="34" width="18.83203125" customWidth="1"/>
    <col min="35" max="35" width="4.83203125" customWidth="1"/>
    <col min="36" max="36" width="4.83203125" customWidth="1"/>
    <col min="37" max="37" width="4.83203125" customWidth="1"/>
    <col min="38" max="38" width="4.83203125" customWidth="1"/>
    <col min="39" max="39" width="4.83203125" customWidth="1"/>
    <col min="40" max="40" width="4.83203125" customWidth="1"/>
    <col min="41" max="41" width="4.83203125" customWidth="1"/>
  </cols>
  <sheetData>
    <row r="1">
      <c r="A1" s="3" t="str">
        <v>School Form 2 (SF2) Daily Attendance Report of Learners</v>
      </c>
    </row>
    <row r="2">
      <c r="A2" s="4" t="str">
        <v>(This replaces Form 1, Form 2 &amp; STS Form 4: Absenteeism and Dropout Profile)</v>
      </c>
    </row>
    <row r="4">
      <c r="A4" s="5" t="str">
        <v>School ID</v>
      </c>
      <c r="E4" s="6" t="str">
        <v>406219</v>
      </c>
      <c r="F4" s="7" t="str">
        <v/>
      </c>
      <c r="G4" s="7" t="str">
        <v/>
      </c>
      <c r="H4" s="5" t="str">
        <v>School Year</v>
      </c>
      <c r="K4" s="7" t="str">
        <v>2025-2026</v>
      </c>
      <c r="L4" s="7" t="str">
        <v/>
      </c>
      <c r="M4" s="7" t="str">
        <v/>
      </c>
      <c r="N4" s="7" t="str">
        <v/>
      </c>
      <c r="O4" s="7" t="str">
        <v/>
      </c>
      <c r="P4" s="5" t="str">
        <v>Month</v>
      </c>
      <c r="U4" s="7" t="str">
        <v>APRIL</v>
      </c>
      <c r="V4" s="7" t="str">
        <v/>
      </c>
      <c r="W4" s="7" t="str">
        <v/>
      </c>
      <c r="X4" s="7" t="str">
        <v/>
      </c>
      <c r="Y4" s="7" t="str">
        <v/>
      </c>
      <c r="Z4" s="7" t="str">
        <v/>
      </c>
    </row>
    <row r="5">
      <c r="A5" s="5" t="str">
        <v>Name of School</v>
      </c>
      <c r="E5" s="7" t="str">
        <v>Baguio Patriotic High School</v>
      </c>
      <c r="F5" s="7" t="str">
        <v/>
      </c>
      <c r="G5" s="7" t="str">
        <v/>
      </c>
      <c r="H5" s="7" t="str">
        <v/>
      </c>
      <c r="I5" s="7" t="str">
        <v/>
      </c>
      <c r="J5" s="7" t="str">
        <v/>
      </c>
      <c r="K5" s="7" t="str">
        <v/>
      </c>
      <c r="L5" s="7" t="str">
        <v/>
      </c>
      <c r="M5" s="7" t="str">
        <v/>
      </c>
      <c r="N5" s="7" t="str">
        <v/>
      </c>
      <c r="O5" s="7" t="str">
        <v/>
      </c>
      <c r="P5" s="5" t="str">
        <v>Grade Level</v>
      </c>
      <c r="U5" s="7" t="str">
        <v>9</v>
      </c>
      <c r="V5" s="7" t="str">
        <v/>
      </c>
      <c r="W5" s="7" t="str">
        <v/>
      </c>
      <c r="X5" s="7" t="str">
        <v/>
      </c>
      <c r="Y5" s="7" t="str">
        <v/>
      </c>
      <c r="Z5" s="7" t="str">
        <v/>
      </c>
      <c r="AA5" s="5" t="str">
        <v>Section</v>
      </c>
      <c r="AD5" s="7" t="str">
        <v>MAHOGANY</v>
      </c>
      <c r="AE5" s="7" t="str">
        <v/>
      </c>
      <c r="AF5" s="7" t="str">
        <v/>
      </c>
      <c r="AG5" s="7" t="str">
        <v/>
      </c>
      <c r="AH5" s="7" t="str">
        <v/>
      </c>
      <c r="AI5" s="7" t="str">
        <v/>
      </c>
      <c r="AJ5" s="7" t="str">
        <v/>
      </c>
      <c r="AK5" s="7" t="str">
        <v/>
      </c>
    </row>
    <row r="7" xml:space="preserve">
      <c r="A7" s="2" t="str">
        <v>No.</v>
      </c>
      <c r="C7" s="2" t="str" xml:space="preserve">
        <v xml:space="preserve">NAME
(Last Name, First Name, Middle Name)</v>
      </c>
      <c r="AD7" s="2" t="str">
        <v>Total for the</v>
      </c>
      <c r="AH7" s="2" t="str" xml:space="preserve">
        <v xml:space="preserve">REMARKS
(If NLS, state reason, please refer to legend number 2. If TRANSFERRED IN/OUT, write the name of School.)</v>
      </c>
    </row>
    <row r="8">
      <c r="E8" s="2">
        <v>1</v>
      </c>
      <c r="F8" s="2">
        <v>2</v>
      </c>
      <c r="G8" s="2">
        <v>3</v>
      </c>
      <c r="H8" s="2">
        <v>4</v>
      </c>
      <c r="I8" s="2">
        <v>7</v>
      </c>
      <c r="J8" s="2">
        <v>8</v>
      </c>
      <c r="K8" s="2">
        <v>9</v>
      </c>
      <c r="L8" s="2">
        <v>10</v>
      </c>
      <c r="M8" s="2">
        <v>11</v>
      </c>
      <c r="N8" s="2">
        <v>14</v>
      </c>
      <c r="O8" s="2">
        <v>15</v>
      </c>
      <c r="P8" s="2">
        <v>16</v>
      </c>
      <c r="Q8" s="2">
        <v>17</v>
      </c>
      <c r="R8" s="2">
        <v>18</v>
      </c>
      <c r="S8" s="2">
        <v>21</v>
      </c>
      <c r="T8" s="2">
        <v>22</v>
      </c>
      <c r="U8" s="2">
        <v>23</v>
      </c>
      <c r="V8" s="2">
        <v>24</v>
      </c>
      <c r="W8" s="2">
        <v>25</v>
      </c>
      <c r="X8" s="2">
        <v>28</v>
      </c>
      <c r="Y8" s="2">
        <v>29</v>
      </c>
      <c r="Z8" s="2">
        <v>30</v>
      </c>
      <c r="AD8" s="2" t="str">
        <v>Month  |</v>
      </c>
      <c r="AG8" s="2">
        <v>22</v>
      </c>
    </row>
    <row r="9">
      <c r="E9" s="2" t="str">
        <v>T</v>
      </c>
      <c r="F9" s="2" t="str">
        <v>W</v>
      </c>
      <c r="G9" s="2" t="str">
        <v>TH</v>
      </c>
      <c r="H9" s="2" t="str">
        <v>F</v>
      </c>
      <c r="I9" s="2" t="str">
        <v>M</v>
      </c>
      <c r="J9" s="2" t="str">
        <v>T</v>
      </c>
      <c r="K9" s="2" t="str">
        <v>W</v>
      </c>
      <c r="L9" s="2" t="str">
        <v>TH</v>
      </c>
      <c r="M9" s="2" t="str">
        <v>F</v>
      </c>
      <c r="N9" s="2" t="str">
        <v>M</v>
      </c>
      <c r="O9" s="2" t="str">
        <v>T</v>
      </c>
      <c r="P9" s="2" t="str">
        <v>W</v>
      </c>
      <c r="Q9" s="2" t="str">
        <v>TH</v>
      </c>
      <c r="R9" s="2" t="str">
        <v>F</v>
      </c>
      <c r="S9" s="2" t="str">
        <v>M</v>
      </c>
      <c r="T9" s="2" t="str">
        <v>T</v>
      </c>
      <c r="U9" s="2" t="str">
        <v>W</v>
      </c>
      <c r="V9" s="2" t="str">
        <v>TH</v>
      </c>
      <c r="W9" s="2" t="str">
        <v>F</v>
      </c>
      <c r="X9" s="2" t="str">
        <v>M</v>
      </c>
      <c r="Y9" s="2" t="str">
        <v>T</v>
      </c>
      <c r="Z9" s="2" t="str">
        <v>W</v>
      </c>
      <c r="AD9" s="2" t="str">
        <v>ABSENT</v>
      </c>
      <c r="AF9" s="2" t="str">
        <v>PRESENT</v>
      </c>
    </row>
    <row r="10">
      <c r="C10" s="2" t="str">
        <v>BOYS</v>
      </c>
    </row>
    <row r="11" ht="16" customHeight="1">
      <c r="A11" s="2">
        <v>1</v>
      </c>
      <c r="C11" s="2" t="str">
        <v>Test Student</v>
      </c>
      <c r="E11" s="2" t="str">
        <v>y</v>
      </c>
      <c r="F11" s="2" t="str">
        <v>s</v>
      </c>
      <c r="G11" s="2" t="str">
        <v>t</v>
      </c>
      <c r="H11" s="2" t="str">
        <v>e</v>
      </c>
      <c r="I11" s="2" t="str">
        <v>C</v>
      </c>
      <c r="J11" s="2" t="str">
        <v>o</v>
      </c>
      <c r="K11" s="2" t="str">
        <v>l</v>
      </c>
      <c r="L11" s="2" t="str">
        <v>l</v>
      </c>
      <c r="M11" s="2" t="str">
        <v>e</v>
      </c>
      <c r="N11" s="2" t="str">
        <v>i</v>
      </c>
      <c r="O11" s="2" t="str">
        <v>o</v>
      </c>
      <c r="P11" s="2" t="str">
        <v>n</v>
      </c>
      <c r="Q11" s="2" t="str">
        <v>s</v>
      </c>
      <c r="R11" s="2" t="str">
        <v>.</v>
      </c>
      <c r="S11" s="2" t="str">
        <v>s</v>
      </c>
      <c r="T11" s="2" t="str">
        <v>h</v>
      </c>
      <c r="U11" s="2" t="str">
        <v>t</v>
      </c>
      <c r="V11" s="2" t="str">
        <v>a</v>
      </c>
      <c r="W11" s="2" t="str">
        <v>b</v>
      </c>
      <c r="AD11" s="2">
        <v>0</v>
      </c>
      <c r="AF11" s="2">
        <v>0</v>
      </c>
    </row>
    <row r="12">
      <c r="A12" s="2">
        <v>1</v>
      </c>
      <c r="C12" s="2" t="str">
        <v>&lt;=== MALE | 1 TOTAL Per Day ===&gt;</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D12" s="2">
        <v>0</v>
      </c>
      <c r="AF12" s="2">
        <v>0</v>
      </c>
    </row>
    <row r="15">
      <c r="A15" s="2">
        <v>22</v>
      </c>
      <c r="C15" s="2" t="str">
        <v>&lt;=== COMBINED | 22 TOTAL Per Day ===&gt;</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D15" s="2">
        <v>0</v>
      </c>
      <c r="AF15" s="2">
        <v>0</v>
      </c>
    </row>
    <row r="51">
      <c r="A51" s="8" t="str">
        <v>GUIDELINES:</v>
      </c>
      <c r="T51" s="8" t="str">
        <v>1. CODES FOR CHECKING ATTENDANCE</v>
      </c>
      <c r="AD51" s="8" t="str">
        <v>Month : January</v>
      </c>
      <c r="AG51" s="8" t="str">
        <v>No. of Days of Classes: 20</v>
      </c>
      <c r="AI51" s="8" t="str">
        <v>Summary</v>
      </c>
    </row>
    <row r="52" xml:space="preserve">
      <c r="A52" s="8" t="str" xml:space="preserve">
        <v xml:space="preserve">1. The attendance shall be accomplished daily. Refer to the codes for checking learners' attendance._x000d_
2. Dates shall be written in the columns after Learner's Name._x000d_
3. To compute the following:</v>
      </c>
      <c r="T52" s="8" t="str">
        <v>(blank) - Present; (x)- Absent; Tardy (half shaded= Upper for Late Commer, Lower for Cutting Classes)</v>
      </c>
      <c r="AI52" s="8" t="str">
        <v>M</v>
      </c>
      <c r="AJ52" s="8" t="str">
        <v>F</v>
      </c>
      <c r="AK52" s="8" t="str">
        <v>TOTAL</v>
      </c>
    </row>
    <row r="53">
      <c r="AD53" s="9" t="str">
        <v>* Enrolment as of (1st Friday of the SY)</v>
      </c>
      <c r="AI53" s="10">
        <v>17</v>
      </c>
      <c r="AJ53" s="10">
        <v>19</v>
      </c>
      <c r="AK53" s="10">
        <f>SUM(AI53,AJ53)</f>
        <v>36</v>
      </c>
    </row>
    <row r="54">
      <c r="T54" s="8" t="str">
        <v>2. REASONS/CAUSES FOR NLS</v>
      </c>
    </row>
    <row r="55">
      <c r="AD55" s="9" t="str">
        <v xml:space="preserve">Late enrolment </v>
      </c>
      <c r="AG55" s="9" t="str">
        <v>during the month</v>
      </c>
      <c r="AI55" s="10">
        <v>0</v>
      </c>
      <c r="AJ55" s="10">
        <v>0</v>
      </c>
      <c r="AK55" s="10">
        <v>0</v>
      </c>
    </row>
    <row r="56">
      <c r="B56" s="8" t="str">
        <v>a. Percentage of Enrolment =</v>
      </c>
      <c r="E56" s="8" t="str">
        <v>Registered Learners as of end of the month</v>
      </c>
      <c r="P56" s="8" t="str">
        <v>x 100</v>
      </c>
      <c r="T56" s="8" t="str">
        <v>a. Domestic-Related Factors</v>
      </c>
    </row>
    <row r="57">
      <c r="AD57" s="9" t="str">
        <v>(beyond cut-off)</v>
      </c>
    </row>
    <row r="58" xml:space="preserve">
      <c r="E58" s="8" t="str">
        <v>Enrolment as of 1st Friday of the school year</v>
      </c>
      <c r="T58" s="8" t="str" xml:space="preserve">
        <v xml:space="preserve">a.1. Had to take care of siblings_x000d_
a.2. Early marriage/pregnancy_x000d_
a.3. Parents' attitude toward schooling_x000d_
a.4. Family problems</v>
      </c>
    </row>
    <row r="59">
      <c r="B59" s="8" t="str">
        <v>b. Average Daily Attendance =</v>
      </c>
      <c r="E59" s="8" t="str">
        <v>Total Daily Attendance</v>
      </c>
      <c r="AD59" s="9" t="str">
        <v>Registered Learners as of</v>
      </c>
      <c r="AI59" s="10">
        <v>17</v>
      </c>
      <c r="AJ59" s="10">
        <v>19</v>
      </c>
      <c r="AK59" s="10">
        <v>40</v>
      </c>
    </row>
    <row r="60">
      <c r="E60" s="8" t="str">
        <v>Number of School Days in reporting month</v>
      </c>
      <c r="AD60" s="9" t="str">
        <v>end of month</v>
      </c>
    </row>
    <row r="61">
      <c r="B61" s="8" t="str">
        <v>c. Percentage of Attendance for the month =</v>
      </c>
      <c r="E61" s="8" t="str">
        <v>Average daily attendance</v>
      </c>
      <c r="P61" s="8" t="str">
        <v>x 100</v>
      </c>
      <c r="AD61" s="9" t="str">
        <v>Percentage of Enrolment as of</v>
      </c>
      <c r="AI61" s="11">
        <f>AI59/AI53</f>
        <v>1</v>
      </c>
      <c r="AJ61" s="11">
        <v>1</v>
      </c>
      <c r="AK61" s="11">
        <f>AVERAGE(AI61,AJ61)</f>
        <v>1</v>
      </c>
    </row>
    <row r="62">
      <c r="E62" s="8" t="str">
        <v>Registered Learners as of end of the month</v>
      </c>
      <c r="T62" s="8" t="str">
        <v>b. Individual-Related Factors</v>
      </c>
      <c r="AD62" s="9" t="str">
        <v>end of month</v>
      </c>
    </row>
    <row r="63" xml:space="preserve">
      <c r="T63" s="8" t="str" xml:space="preserve">
        <v xml:space="preserve">b.1. Illness_x000d_
b.2. Overage_x000d_
b.3. Death_x000d_
b.4. Drug Abuse_x000d_
b.5. Poor academic performance_x000d_
b.6. Lack of interest/Distractions_x000d_
b.7. Hunger/Malnutrition</v>
      </c>
      <c r="AD63" s="9" t="str">
        <v>Average Daily Attendance</v>
      </c>
      <c r="AI63" s="12">
        <f>AF26/16</f>
        <v>17</v>
      </c>
      <c r="AJ63" s="12">
        <f>AF49/16</f>
        <v>19</v>
      </c>
      <c r="AK63" s="12">
        <f>AF50/18</f>
        <v>32</v>
      </c>
    </row>
    <row r="64" xml:space="preserve">
      <c r="A64" s="8" t="str" xml:space="preserve">
        <v xml:space="preserve">4. Every end of the month, the class adviser will submit this form to the office of the principal for recording of summary table into School Form 4. Once signed by the principal, this form should be returned to the adviser._x000d_
5. The adviser will provide neccessary interventions including but not limited to home visitation to learner/s who were absent for 5 consecutive days and/or those at risk of dropping out._x000d_
6.  Attendance performance of learners will be reflected in Form 137 and Form 138 every grading period.</v>
      </c>
    </row>
    <row r="65">
      <c r="AD65" s="9" t="str">
        <v>Percentage of Attendance for the month</v>
      </c>
      <c r="AI65" s="12">
        <f>(AI63/17)*100</f>
        <v>100</v>
      </c>
      <c r="AJ65" s="12">
        <f>(AJ63/19)*100</f>
        <v>100</v>
      </c>
      <c r="AK65" s="12">
        <f>AVERAGE(AI65,AJ65)</f>
        <v>100</v>
      </c>
    </row>
    <row r="66">
      <c r="AD66" s="9" t="str">
        <v>Number of students absent for 5 consecutive days</v>
      </c>
      <c r="AI66" s="9">
        <v>0</v>
      </c>
      <c r="AJ66" s="9">
        <v>0</v>
      </c>
      <c r="AK66" s="9">
        <v>0</v>
      </c>
    </row>
    <row r="67">
      <c r="AD67" s="9" t="str">
        <v>NLS</v>
      </c>
      <c r="AI67" s="9">
        <v>0</v>
      </c>
      <c r="AJ67" s="9">
        <v>0</v>
      </c>
      <c r="AK67" s="9">
        <v>0</v>
      </c>
    </row>
    <row r="68">
      <c r="B68" s="8" t="str">
        <v>*Beginning of School Year cut-off report is every 1st Friday of the School Year</v>
      </c>
      <c r="T68" s="8" t="str">
        <v>c. School-Related Factors</v>
      </c>
    </row>
    <row r="69">
      <c r="AD69" s="9" t="str">
        <v>Transferred out</v>
      </c>
      <c r="AI69" s="9">
        <v>0</v>
      </c>
      <c r="AJ69" s="9">
        <v>0</v>
      </c>
      <c r="AK69" s="9">
        <v>0</v>
      </c>
    </row>
    <row r="70" xml:space="preserve">
      <c r="T70" s="8" t="str" xml:space="preserve">
        <v xml:space="preserve">c.1. Teacher Factor_x000d_
c.2. Physical condition of classroom_x000d_
c.3. Peer influence</v>
      </c>
    </row>
    <row r="71">
      <c r="AD71" s="9" t="str">
        <v>Transferred in</v>
      </c>
      <c r="AI71" s="9">
        <v>0</v>
      </c>
      <c r="AJ71" s="9">
        <v>0</v>
      </c>
      <c r="AK71" s="9">
        <v>0</v>
      </c>
    </row>
  </sheetData>
  <mergeCells count="97">
    <mergeCell ref="T78:AC78"/>
    <mergeCell ref="AE78:AL79"/>
    <mergeCell ref="T79:AC80"/>
    <mergeCell ref="AD80:AL81"/>
    <mergeCell ref="AE82:AK82"/>
    <mergeCell ref="T83:AC83"/>
    <mergeCell ref="AE83:AL83"/>
    <mergeCell ref="AK71:AL72"/>
    <mergeCell ref="T74:AC74"/>
    <mergeCell ref="AD74:AL75"/>
    <mergeCell ref="T75:AC76"/>
    <mergeCell ref="AE76:AL77"/>
    <mergeCell ref="T77:AC77"/>
    <mergeCell ref="B68:S71"/>
    <mergeCell ref="T68:AC69"/>
    <mergeCell ref="AD69:AH70"/>
    <mergeCell ref="AI69:AI70"/>
    <mergeCell ref="AJ69:AJ70"/>
    <mergeCell ref="AK69:AL70"/>
    <mergeCell ref="T70:AC73"/>
    <mergeCell ref="AD71:AH72"/>
    <mergeCell ref="AI71:AI72"/>
    <mergeCell ref="AJ71:AJ72"/>
    <mergeCell ref="AK65:AL65"/>
    <mergeCell ref="AD66:AH66"/>
    <mergeCell ref="AK66:AL66"/>
    <mergeCell ref="AD67:AH68"/>
    <mergeCell ref="AI67:AI68"/>
    <mergeCell ref="AJ67:AJ68"/>
    <mergeCell ref="AK67:AL68"/>
    <mergeCell ref="AK61:AK62"/>
    <mergeCell ref="E62:O62"/>
    <mergeCell ref="T62:AC62"/>
    <mergeCell ref="AD62:AH62"/>
    <mergeCell ref="T63:AC67"/>
    <mergeCell ref="AD63:AH64"/>
    <mergeCell ref="AI63:AI64"/>
    <mergeCell ref="AJ63:AJ64"/>
    <mergeCell ref="AK63:AL64"/>
    <mergeCell ref="AD65:AH65"/>
    <mergeCell ref="B61:D62"/>
    <mergeCell ref="E61:O61"/>
    <mergeCell ref="P61:R62"/>
    <mergeCell ref="AD61:AH61"/>
    <mergeCell ref="AI61:AI62"/>
    <mergeCell ref="AJ61:AJ62"/>
    <mergeCell ref="B59:D60"/>
    <mergeCell ref="E59:O59"/>
    <mergeCell ref="AD59:AH59"/>
    <mergeCell ref="AI59:AI60"/>
    <mergeCell ref="AJ59:AJ60"/>
    <mergeCell ref="AK59:AL60"/>
    <mergeCell ref="E60:O60"/>
    <mergeCell ref="AD60:AH60"/>
    <mergeCell ref="AI55:AI58"/>
    <mergeCell ref="AJ55:AJ58"/>
    <mergeCell ref="AK55:AL58"/>
    <mergeCell ref="B56:D58"/>
    <mergeCell ref="E56:O57"/>
    <mergeCell ref="P56:R58"/>
    <mergeCell ref="T56:AC57"/>
    <mergeCell ref="AD57:AH58"/>
    <mergeCell ref="E58:O58"/>
    <mergeCell ref="T58:AC61"/>
    <mergeCell ref="A52:S55"/>
    <mergeCell ref="T52:AC53"/>
    <mergeCell ref="AK52:AL52"/>
    <mergeCell ref="AD53:AH54"/>
    <mergeCell ref="AI53:AI54"/>
    <mergeCell ref="AJ53:AJ54"/>
    <mergeCell ref="AK53:AL54"/>
    <mergeCell ref="T54:AC55"/>
    <mergeCell ref="AD55:AF56"/>
    <mergeCell ref="AG55:AH56"/>
    <mergeCell ref="A51:S51"/>
    <mergeCell ref="T51:AC51"/>
    <mergeCell ref="AD51:AF52"/>
    <mergeCell ref="AG51:AH52"/>
    <mergeCell ref="AI51:AL51"/>
    <mergeCell ref="A1:AL1"/>
    <mergeCell ref="A2:AL2"/>
    <mergeCell ref="A4:D4"/>
    <mergeCell ref="E4:G4"/>
    <mergeCell ref="H4:J4"/>
    <mergeCell ref="K4:O4"/>
    <mergeCell ref="P4:S4"/>
    <mergeCell ref="U4:Z4"/>
    <mergeCell ref="A5:D5"/>
    <mergeCell ref="E5:O5"/>
    <mergeCell ref="P5:T5"/>
    <mergeCell ref="U5:Z5"/>
    <mergeCell ref="AA5:AC5"/>
    <mergeCell ref="AD5:AK5"/>
    <mergeCell ref="A7:B9"/>
    <mergeCell ref="C7:D9"/>
    <mergeCell ref="AD7:AG7"/>
    <mergeCell ref="AH7:AL9"/>
  </mergeCells>
  <ignoredErrors>
    <ignoredError numberStoredAsText="1" sqref="A1:AL7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2026-06-15T05:59:27Z</dcterms:created>
  <dcterms:modified xsi:type="dcterms:W3CDTF">2026-06-15T06:00:40Z</dcterms:modified>
  <cp:lastModifiedBy>JDM</cp:lastModifiedBy>
  <dc:creator>JDM</dc:creator>
</cp:coreProperties>
</file>